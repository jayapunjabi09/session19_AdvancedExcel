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28556f48424466/Desktop/Advanced Excel/session 19/"/>
    </mc:Choice>
  </mc:AlternateContent>
  <xr:revisionPtr revIDLastSave="278" documentId="8_{C808DBC4-8E4A-488D-BDE5-390F27A41D3A}" xr6:coauthVersionLast="47" xr6:coauthVersionMax="47" xr10:uidLastSave="{2F40298C-2739-4A3B-96DF-F04C27E58748}"/>
  <bookViews>
    <workbookView xWindow="-108" yWindow="-108" windowWidth="23256" windowHeight="12456" xr2:uid="{CD9A932D-70A9-4F56-8E61-1B0D5B54CB9C}"/>
  </bookViews>
  <sheets>
    <sheet name="Order" sheetId="1" r:id="rId1"/>
    <sheet name="Total Orders" sheetId="3" r:id="rId2"/>
    <sheet name="Dashboard" sheetId="2" r:id="rId3"/>
  </sheets>
  <definedNames>
    <definedName name="_xlchart.v1.0" hidden="1">'Total Orders'!$A$2:$A$7</definedName>
    <definedName name="_xlchart.v1.1" hidden="1">'Total Orders'!$B$2:$B$7</definedName>
    <definedName name="_xlchart.v1.2" hidden="1">'Total Orders'!$A$2:$A$7</definedName>
    <definedName name="_xlchart.v1.3" hidden="1">'Total Orders'!$B$2:$B$7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2" l="1"/>
  <c r="R4" i="2"/>
  <c r="R3" i="2"/>
</calcChain>
</file>

<file path=xl/sharedStrings.xml><?xml version="1.0" encoding="utf-8"?>
<sst xmlns="http://schemas.openxmlformats.org/spreadsheetml/2006/main" count="50" uniqueCount="32">
  <si>
    <t>RESTAURANT</t>
  </si>
  <si>
    <t>CUISINE</t>
  </si>
  <si>
    <t>ORDER AMOUNT</t>
  </si>
  <si>
    <t>Food Hub</t>
  </si>
  <si>
    <t>Indian</t>
  </si>
  <si>
    <t>China town</t>
  </si>
  <si>
    <t>Chinese</t>
  </si>
  <si>
    <t>Pasta House</t>
  </si>
  <si>
    <t>Italian</t>
  </si>
  <si>
    <t>Spice Villa</t>
  </si>
  <si>
    <t>Delhi Darbar</t>
  </si>
  <si>
    <t>Wor Express</t>
  </si>
  <si>
    <t>Pizza Point</t>
  </si>
  <si>
    <t>Curry House</t>
  </si>
  <si>
    <t>Italian Bistro</t>
  </si>
  <si>
    <t>Food Corner</t>
  </si>
  <si>
    <t>ZOMATO FOOD DELIVERY ANALYTICS</t>
  </si>
  <si>
    <t>Food Orders Performance Dashboard</t>
  </si>
  <si>
    <t>MIN ORDER VALUE</t>
  </si>
  <si>
    <t>MAX ORDER VALUE</t>
  </si>
  <si>
    <t>AVERAGE ORDER VALUE</t>
  </si>
  <si>
    <t>Cuisine</t>
  </si>
  <si>
    <t>Orders</t>
  </si>
  <si>
    <t>ORDER ID</t>
  </si>
  <si>
    <t>Month</t>
  </si>
  <si>
    <t>Total Orders</t>
  </si>
  <si>
    <t>January</t>
  </si>
  <si>
    <t>February</t>
  </si>
  <si>
    <t>March</t>
  </si>
  <si>
    <t>April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</si>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</sst>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2"/>
      <color rgb="FFFF000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9"/>
      <color rgb="FFE23744"/>
      <name val="Arial"/>
      <family val="2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rgb="FF2D2D2D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/>
    </xf>
    <xf numFmtId="0" fontId="4" fillId="0" borderId="0" xfId="0" applyFont="1"/>
    <xf numFmtId="0" fontId="0" fillId="3" borderId="0" xfId="0" applyFill="1" applyAlignment="1">
      <alignment horizontal="center" wrapText="1"/>
    </xf>
    <xf numFmtId="164" fontId="3" fillId="3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64" fontId="3" fillId="3" borderId="4" xfId="0" applyNumberFormat="1" applyFont="1" applyFill="1" applyBorder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164" fontId="3" fillId="3" borderId="5" xfId="0" applyNumberFormat="1" applyFont="1" applyFill="1" applyBorder="1" applyAlignment="1">
      <alignment horizontal="center" vertical="center"/>
    </xf>
    <xf numFmtId="164" fontId="3" fillId="3" borderId="6" xfId="0" applyNumberFormat="1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0" fontId="6" fillId="0" borderId="0" xfId="0" applyFont="1"/>
    <xf numFmtId="0" fontId="5" fillId="4" borderId="9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center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 b="1"/>
              <a:t>Cuisine 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400160421884793"/>
          <c:y val="0.21649436751685905"/>
          <c:w val="0.42273591544693523"/>
          <c:h val="0.69897928571327017"/>
        </c:manualLayout>
      </c:layout>
      <c:pieChart>
        <c:varyColors val="1"/>
        <c:ser>
          <c:idx val="0"/>
          <c:order val="0"/>
          <c:tx>
            <c:strRef>
              <c:f>Dashboard!$R$2</c:f>
              <c:strCache>
                <c:ptCount val="1"/>
                <c:pt idx="0">
                  <c:v>Orders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103-4C91-A9DF-4AF15932502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103-4C91-A9DF-4AF15932502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103-4C91-A9DF-4AF15932502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Dashboard!$Q$3:$Q$5</c:f>
              <c:strCache>
                <c:ptCount val="3"/>
                <c:pt idx="0">
                  <c:v>Indian</c:v>
                </c:pt>
                <c:pt idx="1">
                  <c:v>Chinese</c:v>
                </c:pt>
                <c:pt idx="2">
                  <c:v>Italian</c:v>
                </c:pt>
              </c:strCache>
            </c:strRef>
          </c:cat>
          <c:val>
            <c:numRef>
              <c:f>Dashboard!$R$3:$R$5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B4-4A9E-8946-CACBEFA6431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233571375012294"/>
          <c:y val="0.84805504417414312"/>
          <c:w val="0.27240936197905025"/>
          <c:h val="6.09425718473947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ORDER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Dashboard!$U$1</c:f>
              <c:strCache>
                <c:ptCount val="1"/>
                <c:pt idx="0">
                  <c:v>Total Orders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Dashboard!$T$2:$T$7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Dashboard!$U$2:$U$7</c:f>
              <c:numCache>
                <c:formatCode>General</c:formatCode>
                <c:ptCount val="6"/>
                <c:pt idx="0">
                  <c:v>1000</c:v>
                </c:pt>
                <c:pt idx="1">
                  <c:v>1200</c:v>
                </c:pt>
                <c:pt idx="2">
                  <c:v>1100</c:v>
                </c:pt>
                <c:pt idx="3">
                  <c:v>1450</c:v>
                </c:pt>
                <c:pt idx="4">
                  <c:v>1300</c:v>
                </c:pt>
                <c:pt idx="5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BE-499B-8455-9BF33FA5E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29451727"/>
        <c:axId val="666565007"/>
      </c:barChart>
      <c:catAx>
        <c:axId val="62945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565007"/>
        <c:crosses val="autoZero"/>
        <c:auto val="1"/>
        <c:lblAlgn val="ctr"/>
        <c:lblOffset val="100"/>
        <c:noMultiLvlLbl val="0"/>
      </c:catAx>
      <c:valAx>
        <c:axId val="66656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45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MONTH-ON-MONTH ORDER CHANGE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MONTH-ON-MONTH ORDER CHANGE</a:t>
          </a:r>
        </a:p>
      </cx:txPr>
    </cx:title>
    <cx:plotArea>
      <cx:plotAreaRegion>
        <cx:series layoutId="waterfall" uniqueId="{00000000-74D9-4A9B-9D3D-1A42225E845C}">
          <cx:dataLabels pos="outEnd">
            <cx:visibility seriesName="0" categoryName="0" value="1"/>
          </cx:dataLabels>
          <cx:dataId val="0"/>
          <cx:layoutPr>
            <cx:visibility connectorLines="0"/>
            <cx:subtotals/>
          </cx:layoutPr>
        </cx:series>
      </cx:plotAreaRegion>
      <cx:axis id="0">
        <cx:catScaling gapWidth="0.25"/>
        <cx:tickLabels/>
      </cx:axis>
      <cx:axis id="1" hidden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MONTH-ON-MONTH ORDER CHANGE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2"/>
              </a:solidFill>
            </a:defRPr>
          </a:pPr>
          <a:r>
            <a:rPr lang="en-US" sz="1600" b="1" i="0" u="none" strike="noStrike" baseline="0">
              <a:solidFill>
                <a:schemeClr val="bg2"/>
              </a:solidFill>
              <a:latin typeface="Aptos Narrow" panose="02110004020202020204"/>
            </a:rPr>
            <a:t>MONTH-ON-MONTH ORDER CHANGE</a:t>
          </a:r>
        </a:p>
      </cx:txPr>
    </cx:title>
    <cx:plotArea>
      <cx:plotAreaRegion>
        <cx:series layoutId="waterfall" uniqueId="{00000000-74D9-4A9B-9D3D-1A42225E845C}">
          <cx:dataLabels pos="in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chemeClr val="bg2"/>
                    </a:solidFill>
                  </a:defRPr>
                </a:pPr>
                <a:endParaRPr lang="en-GB" sz="900" b="0" i="0" u="none" strike="noStrike" baseline="0">
                  <a:solidFill>
                    <a:schemeClr val="bg2"/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7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1</xdr:row>
      <xdr:rowOff>0</xdr:rowOff>
    </xdr:from>
    <xdr:to>
      <xdr:col>10</xdr:col>
      <xdr:colOff>297180</xdr:colOff>
      <xdr:row>16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C918B3F-6A7B-F0E9-B822-D2D62C3BB5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21180" y="36576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E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85272</xdr:colOff>
      <xdr:row>10</xdr:row>
      <xdr:rowOff>42686</xdr:rowOff>
    </xdr:from>
    <xdr:to>
      <xdr:col>6</xdr:col>
      <xdr:colOff>666203</xdr:colOff>
      <xdr:row>29</xdr:row>
      <xdr:rowOff>30078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1D1AFD-F515-AC4D-D129-554BA1869A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</xdr:colOff>
      <xdr:row>9</xdr:row>
      <xdr:rowOff>155457</xdr:rowOff>
    </xdr:from>
    <xdr:to>
      <xdr:col>22</xdr:col>
      <xdr:colOff>591553</xdr:colOff>
      <xdr:row>29</xdr:row>
      <xdr:rowOff>150394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2B40A2F-BCAD-4E3F-97CB-678DE211CB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12054" y="2531694"/>
              <a:ext cx="6065920" cy="37046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E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34945</xdr:colOff>
      <xdr:row>10</xdr:row>
      <xdr:rowOff>24142</xdr:rowOff>
    </xdr:from>
    <xdr:to>
      <xdr:col>13</xdr:col>
      <xdr:colOff>140369</xdr:colOff>
      <xdr:row>29</xdr:row>
      <xdr:rowOff>120315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091093-BB5C-F47F-61F3-AB1141D9AC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253456-07BD-428B-A7C6-89708CB53400}" name="Table4" displayName="Table4" ref="A1:D11" totalsRowShown="0" headerRowDxfId="0">
  <autoFilter ref="A1:D11" xr:uid="{F5253456-07BD-428B-A7C6-89708CB53400}"/>
  <tableColumns count="4">
    <tableColumn id="1" xr3:uid="{BAC28514-EE38-4A5C-84CC-653D34C88729}" name="ORDER ID"/>
    <tableColumn id="2" xr3:uid="{3DC3C1C0-C928-4AD8-AEE6-1B5443766F1C}" name="RESTAURANT" dataDxfId="3"/>
    <tableColumn id="3" xr3:uid="{E5AA3009-4401-4612-9B9C-24DBE7787E9A}" name="CUISINE" dataDxfId="2"/>
    <tableColumn id="4" xr3:uid="{8EBACFF9-8613-48B0-A31A-E3B31C5D423E}" name="ORDER AMOUNT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227D3E-71E2-43C3-AC3C-6D548712C7C8}" name="Table1" displayName="Table1" ref="A1:B7" totalsRowShown="0">
  <autoFilter ref="A1:B7" xr:uid="{36227D3E-71E2-43C3-AC3C-6D548712C7C8}"/>
  <tableColumns count="2">
    <tableColumn id="1" xr3:uid="{8CE0AE2F-6661-4ABA-B241-549F062F9D84}" name="Month" dataDxfId="11"/>
    <tableColumn id="2" xr3:uid="{24C0B731-BADD-4DF3-A034-EEB11D56F21F}" name="Total Orders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3B4E7F-BDC3-4F61-BC43-7F73DF0B4891}" name="Table2" displayName="Table2" ref="Q2:R5" totalsRowShown="0" headerRowDxfId="7" dataDxfId="6">
  <autoFilter ref="Q2:R5" xr:uid="{B83B4E7F-BDC3-4F61-BC43-7F73DF0B4891}"/>
  <tableColumns count="2">
    <tableColumn id="1" xr3:uid="{9320A6CB-6B19-4D0A-96D3-834A2215B70E}" name="Cuisine" dataDxfId="9"/>
    <tableColumn id="2" xr3:uid="{2D44C887-7CBC-452F-A593-F19999D19E68}" name="Orders" dataDxfId="8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752A10-7519-4157-802B-72AB8302FF39}" name="Table3" displayName="Table3" ref="T1:U7" totalsRowShown="0">
  <autoFilter ref="T1:U7" xr:uid="{8E752A10-7519-4157-802B-72AB8302FF39}"/>
  <tableColumns count="2">
    <tableColumn id="1" xr3:uid="{BE223D0A-A4C5-440F-A86B-D16F231EAF23}" name="Month" dataDxfId="5"/>
    <tableColumn id="2" xr3:uid="{F2DCE076-24A9-41D7-93B3-35499753A60F}" name="Total Orders" dataDxfId="4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B937E-C680-4E66-9B3D-7267AB75C7A7}">
  <dimension ref="A1:D11"/>
  <sheetViews>
    <sheetView tabSelected="1" workbookViewId="0">
      <selection sqref="A1:D11"/>
    </sheetView>
  </sheetViews>
  <sheetFormatPr defaultRowHeight="14.4" x14ac:dyDescent="0.3"/>
  <cols>
    <col min="1" max="1" width="10.77734375" customWidth="1"/>
    <col min="2" max="2" width="13.77734375" customWidth="1"/>
    <col min="3" max="3" width="9.88671875" customWidth="1"/>
    <col min="4" max="4" width="16.33203125" customWidth="1"/>
  </cols>
  <sheetData>
    <row r="1" spans="1:4" x14ac:dyDescent="0.3">
      <c r="A1" s="1" t="s">
        <v>23</v>
      </c>
      <c r="B1" s="1" t="s">
        <v>0</v>
      </c>
      <c r="C1" s="1" t="s">
        <v>1</v>
      </c>
      <c r="D1" s="3" t="s">
        <v>2</v>
      </c>
    </row>
    <row r="2" spans="1:4" x14ac:dyDescent="0.3">
      <c r="A2">
        <v>1001</v>
      </c>
      <c r="B2" s="2" t="s">
        <v>3</v>
      </c>
      <c r="C2" s="2" t="s">
        <v>4</v>
      </c>
      <c r="D2" s="2">
        <v>450</v>
      </c>
    </row>
    <row r="3" spans="1:4" x14ac:dyDescent="0.3">
      <c r="A3">
        <v>1002</v>
      </c>
      <c r="B3" s="2" t="s">
        <v>5</v>
      </c>
      <c r="C3" s="2" t="s">
        <v>6</v>
      </c>
      <c r="D3" s="2">
        <v>650</v>
      </c>
    </row>
    <row r="4" spans="1:4" x14ac:dyDescent="0.3">
      <c r="A4">
        <v>1003</v>
      </c>
      <c r="B4" s="2" t="s">
        <v>7</v>
      </c>
      <c r="C4" s="2" t="s">
        <v>8</v>
      </c>
      <c r="D4" s="2">
        <v>650</v>
      </c>
    </row>
    <row r="5" spans="1:4" x14ac:dyDescent="0.3">
      <c r="A5">
        <v>1004</v>
      </c>
      <c r="B5" s="2" t="s">
        <v>9</v>
      </c>
      <c r="C5" s="2" t="s">
        <v>4</v>
      </c>
      <c r="D5" s="2">
        <v>300</v>
      </c>
    </row>
    <row r="6" spans="1:4" x14ac:dyDescent="0.3">
      <c r="A6">
        <v>1005</v>
      </c>
      <c r="B6" s="2" t="s">
        <v>10</v>
      </c>
      <c r="C6" s="2" t="s">
        <v>4</v>
      </c>
      <c r="D6" s="2">
        <v>1200</v>
      </c>
    </row>
    <row r="7" spans="1:4" x14ac:dyDescent="0.3">
      <c r="A7">
        <v>1006</v>
      </c>
      <c r="B7" s="2" t="s">
        <v>11</v>
      </c>
      <c r="C7" s="2" t="s">
        <v>6</v>
      </c>
      <c r="D7" s="2">
        <v>550</v>
      </c>
    </row>
    <row r="8" spans="1:4" x14ac:dyDescent="0.3">
      <c r="A8">
        <v>1007</v>
      </c>
      <c r="B8" s="2" t="s">
        <v>12</v>
      </c>
      <c r="C8" s="2" t="s">
        <v>8</v>
      </c>
      <c r="D8" s="2">
        <v>750</v>
      </c>
    </row>
    <row r="9" spans="1:4" x14ac:dyDescent="0.3">
      <c r="A9">
        <v>1008</v>
      </c>
      <c r="B9" s="2" t="s">
        <v>13</v>
      </c>
      <c r="C9" s="2" t="s">
        <v>4</v>
      </c>
      <c r="D9" s="2">
        <v>400</v>
      </c>
    </row>
    <row r="10" spans="1:4" x14ac:dyDescent="0.3">
      <c r="A10">
        <v>1009</v>
      </c>
      <c r="B10" s="2" t="s">
        <v>14</v>
      </c>
      <c r="C10" s="2" t="s">
        <v>8</v>
      </c>
      <c r="D10" s="2">
        <v>950</v>
      </c>
    </row>
    <row r="11" spans="1:4" x14ac:dyDescent="0.3">
      <c r="A11">
        <v>1010</v>
      </c>
      <c r="B11" s="2" t="s">
        <v>15</v>
      </c>
      <c r="C11" s="2" t="s">
        <v>6</v>
      </c>
      <c r="D11" s="2">
        <v>250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65006-47D5-4D8E-AD1C-CA288145940D}">
  <dimension ref="A1:B7"/>
  <sheetViews>
    <sheetView workbookViewId="0">
      <selection sqref="A1:B7"/>
    </sheetView>
  </sheetViews>
  <sheetFormatPr defaultRowHeight="14.4" x14ac:dyDescent="0.3"/>
  <cols>
    <col min="1" max="1" width="10.5546875" bestFit="1" customWidth="1"/>
    <col min="2" max="2" width="13" customWidth="1"/>
  </cols>
  <sheetData>
    <row r="1" spans="1:2" ht="28.8" x14ac:dyDescent="0.3">
      <c r="A1" s="4" t="s">
        <v>24</v>
      </c>
      <c r="B1" s="6" t="s">
        <v>25</v>
      </c>
    </row>
    <row r="2" spans="1:2" x14ac:dyDescent="0.3">
      <c r="A2" s="7" t="s">
        <v>26</v>
      </c>
      <c r="B2" s="5">
        <v>1000</v>
      </c>
    </row>
    <row r="3" spans="1:2" x14ac:dyDescent="0.3">
      <c r="A3" s="7" t="s">
        <v>27</v>
      </c>
      <c r="B3" s="5">
        <v>1200</v>
      </c>
    </row>
    <row r="4" spans="1:2" x14ac:dyDescent="0.3">
      <c r="A4" s="7" t="s">
        <v>28</v>
      </c>
      <c r="B4" s="5">
        <v>1100</v>
      </c>
    </row>
    <row r="5" spans="1:2" x14ac:dyDescent="0.3">
      <c r="A5" s="7" t="s">
        <v>29</v>
      </c>
      <c r="B5" s="5">
        <v>1450</v>
      </c>
    </row>
    <row r="6" spans="1:2" x14ac:dyDescent="0.3">
      <c r="A6" s="7" t="s">
        <v>30</v>
      </c>
      <c r="B6" s="5">
        <v>1300</v>
      </c>
    </row>
    <row r="7" spans="1:2" x14ac:dyDescent="0.3">
      <c r="A7" s="7" t="s">
        <v>31</v>
      </c>
      <c r="B7" s="5">
        <v>1600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301C7-CAF3-4D25-A47B-EB0437099350}">
  <dimension ref="A1:U35"/>
  <sheetViews>
    <sheetView zoomScale="76" workbookViewId="0">
      <selection activeCell="Q8" sqref="Q8"/>
    </sheetView>
  </sheetViews>
  <sheetFormatPr defaultRowHeight="14.4" x14ac:dyDescent="0.3"/>
  <cols>
    <col min="1" max="15" width="12.77734375" customWidth="1"/>
    <col min="17" max="17" width="9.33203125" customWidth="1"/>
    <col min="18" max="18" width="13.109375" customWidth="1"/>
  </cols>
  <sheetData>
    <row r="1" spans="1:21" ht="28.8" x14ac:dyDescent="0.3">
      <c r="T1" s="4" t="s">
        <v>24</v>
      </c>
      <c r="U1" s="6" t="s">
        <v>25</v>
      </c>
    </row>
    <row r="2" spans="1:21" ht="18" x14ac:dyDescent="0.35">
      <c r="A2" s="12" t="s">
        <v>16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Q2" s="32" t="s">
        <v>21</v>
      </c>
      <c r="R2" s="32" t="s">
        <v>22</v>
      </c>
      <c r="T2" s="7" t="s">
        <v>26</v>
      </c>
      <c r="U2" s="5">
        <v>1000</v>
      </c>
    </row>
    <row r="3" spans="1:21" ht="18" x14ac:dyDescent="0.3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Q3" s="32" t="s">
        <v>4</v>
      </c>
      <c r="R3" s="32">
        <f>COUNTIF(Order!C2:C11,Q3)</f>
        <v>4</v>
      </c>
      <c r="T3" s="7" t="s">
        <v>27</v>
      </c>
      <c r="U3" s="5">
        <v>1200</v>
      </c>
    </row>
    <row r="4" spans="1:21" ht="18" x14ac:dyDescent="0.35">
      <c r="B4" s="13" t="s">
        <v>17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Q4" s="32" t="s">
        <v>6</v>
      </c>
      <c r="R4" s="32">
        <f>COUNTIF(Order!C2:C11,Q4)</f>
        <v>3</v>
      </c>
      <c r="T4" s="7" t="s">
        <v>28</v>
      </c>
      <c r="U4" s="5">
        <v>1100</v>
      </c>
    </row>
    <row r="5" spans="1:21" ht="18.600000000000001" thickBot="1" x14ac:dyDescent="0.4">
      <c r="Q5" s="32" t="s">
        <v>8</v>
      </c>
      <c r="R5" s="32">
        <f>COUNTIF(Order!C2:C11,Q5)</f>
        <v>3</v>
      </c>
      <c r="T5" s="7" t="s">
        <v>29</v>
      </c>
      <c r="U5" s="5">
        <v>1450</v>
      </c>
    </row>
    <row r="6" spans="1:21" ht="22.05" customHeight="1" x14ac:dyDescent="0.3">
      <c r="A6" s="14" t="s">
        <v>18</v>
      </c>
      <c r="B6" s="15"/>
      <c r="C6" s="15"/>
      <c r="D6" s="15"/>
      <c r="E6" s="16"/>
      <c r="G6" s="23" t="s">
        <v>19</v>
      </c>
      <c r="H6" s="24"/>
      <c r="I6" s="24"/>
      <c r="J6" s="25"/>
      <c r="L6" s="10" t="s">
        <v>20</v>
      </c>
      <c r="M6" s="10"/>
      <c r="N6" s="10"/>
      <c r="O6" s="10"/>
      <c r="T6" s="7" t="s">
        <v>30</v>
      </c>
      <c r="U6" s="5">
        <v>1300</v>
      </c>
    </row>
    <row r="7" spans="1:21" ht="22.05" customHeight="1" x14ac:dyDescent="0.3">
      <c r="A7" s="17">
        <v>250</v>
      </c>
      <c r="B7" s="18"/>
      <c r="C7" s="18"/>
      <c r="D7" s="18"/>
      <c r="E7" s="19"/>
      <c r="G7" s="26">
        <v>1200</v>
      </c>
      <c r="H7" s="27"/>
      <c r="I7" s="27"/>
      <c r="J7" s="28"/>
      <c r="L7" s="11">
        <v>635</v>
      </c>
      <c r="M7" s="11"/>
      <c r="N7" s="11"/>
      <c r="O7" s="11"/>
      <c r="T7" s="7" t="s">
        <v>31</v>
      </c>
      <c r="U7" s="5">
        <v>1600</v>
      </c>
    </row>
    <row r="8" spans="1:21" ht="22.05" customHeight="1" x14ac:dyDescent="0.3">
      <c r="A8" s="17"/>
      <c r="B8" s="18"/>
      <c r="C8" s="18"/>
      <c r="D8" s="18"/>
      <c r="E8" s="19"/>
      <c r="G8" s="26"/>
      <c r="H8" s="27"/>
      <c r="I8" s="27"/>
      <c r="J8" s="28"/>
      <c r="L8" s="11"/>
      <c r="M8" s="11"/>
      <c r="N8" s="11"/>
      <c r="O8" s="11"/>
    </row>
    <row r="9" spans="1:21" ht="22.05" customHeight="1" thickBot="1" x14ac:dyDescent="0.35">
      <c r="A9" s="20"/>
      <c r="B9" s="21"/>
      <c r="C9" s="21"/>
      <c r="D9" s="21"/>
      <c r="E9" s="22"/>
      <c r="G9" s="29"/>
      <c r="H9" s="30"/>
      <c r="I9" s="30"/>
      <c r="J9" s="31"/>
      <c r="L9" s="11"/>
      <c r="M9" s="11"/>
      <c r="N9" s="11"/>
      <c r="O9" s="11"/>
    </row>
    <row r="26" spans="10:15" ht="15" thickBot="1" x14ac:dyDescent="0.35"/>
    <row r="27" spans="10:15" ht="21" customHeight="1" thickTop="1" x14ac:dyDescent="0.4">
      <c r="J27" s="33"/>
      <c r="K27" s="33"/>
      <c r="L27" s="33"/>
      <c r="M27" s="33"/>
      <c r="N27" s="9"/>
      <c r="O27" s="9"/>
    </row>
    <row r="28" spans="10:15" ht="14.4" customHeight="1" x14ac:dyDescent="0.4">
      <c r="J28" s="34"/>
      <c r="K28" s="34"/>
      <c r="L28" s="34"/>
      <c r="M28" s="34"/>
      <c r="N28" s="9"/>
      <c r="O28" s="9"/>
    </row>
    <row r="29" spans="10:15" x14ac:dyDescent="0.3">
      <c r="J29" s="34"/>
      <c r="K29" s="34"/>
      <c r="L29" s="34"/>
      <c r="M29" s="34"/>
      <c r="N29" s="8"/>
      <c r="O29" s="8"/>
    </row>
    <row r="30" spans="10:15" x14ac:dyDescent="0.3">
      <c r="J30" s="34"/>
      <c r="K30" s="34"/>
      <c r="L30" s="34"/>
      <c r="M30" s="34"/>
      <c r="N30" s="8"/>
      <c r="O30" s="8"/>
    </row>
    <row r="31" spans="10:15" x14ac:dyDescent="0.3">
      <c r="J31" s="34"/>
      <c r="K31" s="34"/>
      <c r="L31" s="34"/>
      <c r="M31" s="34"/>
      <c r="N31" s="8"/>
      <c r="O31" s="8"/>
    </row>
    <row r="32" spans="10:15" x14ac:dyDescent="0.3">
      <c r="L32" s="8"/>
      <c r="M32" s="8"/>
      <c r="N32" s="8"/>
      <c r="O32" s="8"/>
    </row>
    <row r="33" spans="12:15" x14ac:dyDescent="0.3">
      <c r="L33" s="8"/>
      <c r="M33" s="8"/>
      <c r="N33" s="8"/>
      <c r="O33" s="8"/>
    </row>
    <row r="34" spans="12:15" x14ac:dyDescent="0.3">
      <c r="L34" s="8"/>
      <c r="M34" s="8"/>
      <c r="N34" s="8"/>
      <c r="O34" s="8"/>
    </row>
    <row r="35" spans="12:15" x14ac:dyDescent="0.3">
      <c r="L35" s="8"/>
      <c r="M35" s="8"/>
      <c r="N35" s="8"/>
      <c r="O35" s="8"/>
    </row>
  </sheetData>
  <mergeCells count="8">
    <mergeCell ref="L6:O6"/>
    <mergeCell ref="L7:O9"/>
    <mergeCell ref="A2:O3"/>
    <mergeCell ref="B4:O4"/>
    <mergeCell ref="A6:E6"/>
    <mergeCell ref="A7:E9"/>
    <mergeCell ref="G6:J6"/>
    <mergeCell ref="G7:J9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</vt:lpstr>
      <vt:lpstr>Total Orders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Dolly Patel</dc:creator>
  <cp:lastModifiedBy>HP</cp:lastModifiedBy>
  <dcterms:created xsi:type="dcterms:W3CDTF">2026-09-30T08:42:13Z</dcterms:created>
  <dcterms:modified xsi:type="dcterms:W3CDTF">2026-10-03T07:16:07Z</dcterms:modified>
</cp:coreProperties>
</file>